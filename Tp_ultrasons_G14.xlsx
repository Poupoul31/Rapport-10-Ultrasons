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paul-emile_balducchi_epfl_ch/Documents/"/>
    </mc:Choice>
  </mc:AlternateContent>
  <xr:revisionPtr revIDLastSave="0" documentId="8_{EA795306-E8F1-45D6-9BAE-03762E4EAC1B}" xr6:coauthVersionLast="47" xr6:coauthVersionMax="47" xr10:uidLastSave="{00000000-0000-0000-0000-000000000000}"/>
  <bookViews>
    <workbookView xWindow="1812" yWindow="636" windowWidth="19608" windowHeight="11280" xr2:uid="{54AD0117-9496-4DCB-88FE-69BB7FE267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31" i="1"/>
  <c r="I32" i="1"/>
  <c r="I33" i="1"/>
  <c r="I34" i="1"/>
  <c r="I35" i="1"/>
  <c r="I41" i="1"/>
  <c r="I42" i="1"/>
  <c r="I43" i="1"/>
  <c r="H32" i="1"/>
  <c r="H31" i="1"/>
  <c r="C33" i="1"/>
  <c r="C34" i="1"/>
  <c r="H34" i="1" s="1"/>
  <c r="C35" i="1"/>
  <c r="H35" i="1" s="1"/>
  <c r="C36" i="1"/>
  <c r="H36" i="1" s="1"/>
  <c r="I36" i="1" s="1"/>
  <c r="C37" i="1"/>
  <c r="H37" i="1" s="1"/>
  <c r="I37" i="1" s="1"/>
  <c r="C38" i="1"/>
  <c r="H38" i="1" s="1"/>
  <c r="I38" i="1" s="1"/>
  <c r="C39" i="1"/>
  <c r="H39" i="1" s="1"/>
  <c r="I39" i="1" s="1"/>
  <c r="C40" i="1"/>
  <c r="H40" i="1" s="1"/>
  <c r="I40" i="1" s="1"/>
  <c r="C41" i="1"/>
  <c r="H41" i="1" s="1"/>
  <c r="C42" i="1"/>
  <c r="H42" i="1" s="1"/>
  <c r="C43" i="1"/>
  <c r="H43" i="1" s="1"/>
  <c r="C32" i="1"/>
  <c r="I44" i="1"/>
  <c r="I45" i="1"/>
  <c r="I46" i="1"/>
  <c r="I47" i="1"/>
  <c r="H44" i="1"/>
  <c r="H45" i="1"/>
  <c r="H46" i="1"/>
  <c r="H47" i="1"/>
  <c r="H33" i="1"/>
  <c r="H30" i="1"/>
  <c r="E26" i="1"/>
  <c r="E24" i="1"/>
  <c r="E25" i="1"/>
  <c r="C24" i="1"/>
  <c r="C25" i="1"/>
  <c r="C26" i="1"/>
  <c r="C17" i="1"/>
  <c r="C18" i="1"/>
  <c r="C19" i="1"/>
  <c r="C20" i="1"/>
  <c r="C21" i="1"/>
  <c r="C22" i="1"/>
  <c r="C23" i="1"/>
  <c r="E8" i="1"/>
  <c r="E9" i="1"/>
  <c r="E10" i="1"/>
  <c r="E11" i="1"/>
  <c r="E12" i="1"/>
  <c r="E16" i="1"/>
  <c r="E17" i="1"/>
  <c r="E18" i="1"/>
  <c r="E19" i="1"/>
  <c r="E20" i="1"/>
  <c r="E21" i="1"/>
  <c r="E22" i="1"/>
  <c r="E23" i="1"/>
  <c r="C9" i="1"/>
  <c r="C10" i="1"/>
  <c r="C11" i="1"/>
  <c r="C12" i="1"/>
  <c r="C13" i="1"/>
  <c r="E13" i="1" s="1"/>
  <c r="C14" i="1"/>
  <c r="E14" i="1" s="1"/>
  <c r="C15" i="1"/>
  <c r="E15" i="1" s="1"/>
  <c r="C16" i="1"/>
  <c r="C8" i="1"/>
  <c r="E7" i="1"/>
</calcChain>
</file>

<file path=xl/sharedStrings.xml><?xml version="1.0" encoding="utf-8"?>
<sst xmlns="http://schemas.openxmlformats.org/spreadsheetml/2006/main" count="20" uniqueCount="18">
  <si>
    <t>Manip 1: photo gaetan</t>
  </si>
  <si>
    <t xml:space="preserve">Manip 2:  </t>
  </si>
  <si>
    <t>fréq: 42.9 kHz</t>
  </si>
  <si>
    <t>Δd</t>
  </si>
  <si>
    <t>d1</t>
  </si>
  <si>
    <t>d2</t>
  </si>
  <si>
    <t>d1 [cm]</t>
  </si>
  <si>
    <t>incert regle = 0.05 cm</t>
  </si>
  <si>
    <t>incert oscilloscope = 1 μs</t>
  </si>
  <si>
    <t xml:space="preserve">Manip 3 </t>
  </si>
  <si>
    <t xml:space="preserve">on décalle d'une période à chaque fois </t>
  </si>
  <si>
    <t xml:space="preserve">on décale d'un carré à chaque fois </t>
  </si>
  <si>
    <t>incert oscillloscope = 0.2 ms</t>
  </si>
  <si>
    <t>dt [ms]</t>
  </si>
  <si>
    <t>v_son</t>
  </si>
  <si>
    <t>Manip 4</t>
  </si>
  <si>
    <t>facteur 2 enveloppe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</si>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</sst>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BFE8-344F-41E3-BF1C-D10ECC085E03}">
  <dimension ref="A1:I53"/>
  <sheetViews>
    <sheetView tabSelected="1" topLeftCell="A37" zoomScale="80" workbookViewId="0">
      <selection activeCell="B53" sqref="B53"/>
    </sheetView>
  </sheetViews>
  <sheetFormatPr baseColWidth="10" defaultRowHeight="14.4" x14ac:dyDescent="0.3"/>
  <sheetData>
    <row r="1" spans="1:6" x14ac:dyDescent="0.3">
      <c r="A1" t="s">
        <v>0</v>
      </c>
    </row>
    <row r="6" spans="1:6" s="2" customFormat="1" x14ac:dyDescent="0.3">
      <c r="A6" s="2" t="s">
        <v>1</v>
      </c>
      <c r="B6" s="2" t="s">
        <v>2</v>
      </c>
      <c r="C6" s="2" t="s">
        <v>6</v>
      </c>
      <c r="D6" s="2" t="s">
        <v>5</v>
      </c>
      <c r="E6" s="2" t="s">
        <v>3</v>
      </c>
      <c r="F6" s="2" t="s">
        <v>7</v>
      </c>
    </row>
    <row r="7" spans="1:6" x14ac:dyDescent="0.3">
      <c r="C7">
        <v>20.100000000000001</v>
      </c>
      <c r="D7">
        <v>20.9</v>
      </c>
      <c r="E7">
        <f>D7-C7</f>
        <v>0.79999999999999716</v>
      </c>
      <c r="F7" t="s">
        <v>8</v>
      </c>
    </row>
    <row r="8" spans="1:6" x14ac:dyDescent="0.3">
      <c r="A8" t="s">
        <v>10</v>
      </c>
      <c r="C8">
        <f>D7</f>
        <v>20.9</v>
      </c>
      <c r="D8">
        <v>21.7</v>
      </c>
      <c r="E8">
        <f t="shared" ref="E8:E26" si="0">D8-C8</f>
        <v>0.80000000000000071</v>
      </c>
    </row>
    <row r="9" spans="1:6" x14ac:dyDescent="0.3">
      <c r="C9">
        <f t="shared" ref="C9:C26" si="1">D8</f>
        <v>21.7</v>
      </c>
      <c r="D9">
        <v>22.5</v>
      </c>
      <c r="E9">
        <f t="shared" si="0"/>
        <v>0.80000000000000071</v>
      </c>
    </row>
    <row r="10" spans="1:6" x14ac:dyDescent="0.3">
      <c r="C10">
        <f t="shared" si="1"/>
        <v>22.5</v>
      </c>
      <c r="D10">
        <v>23.4</v>
      </c>
      <c r="E10">
        <f t="shared" si="0"/>
        <v>0.89999999999999858</v>
      </c>
    </row>
    <row r="11" spans="1:6" x14ac:dyDescent="0.3">
      <c r="C11">
        <f t="shared" si="1"/>
        <v>23.4</v>
      </c>
      <c r="D11">
        <v>24.1</v>
      </c>
      <c r="E11">
        <f t="shared" si="0"/>
        <v>0.70000000000000284</v>
      </c>
    </row>
    <row r="12" spans="1:6" x14ac:dyDescent="0.3">
      <c r="C12">
        <f t="shared" si="1"/>
        <v>24.1</v>
      </c>
      <c r="D12">
        <v>25</v>
      </c>
      <c r="E12">
        <f t="shared" si="0"/>
        <v>0.89999999999999858</v>
      </c>
    </row>
    <row r="13" spans="1:6" x14ac:dyDescent="0.3">
      <c r="C13">
        <f t="shared" si="1"/>
        <v>25</v>
      </c>
      <c r="D13">
        <v>25.8</v>
      </c>
      <c r="E13">
        <f t="shared" si="0"/>
        <v>0.80000000000000071</v>
      </c>
    </row>
    <row r="14" spans="1:6" x14ac:dyDescent="0.3">
      <c r="C14">
        <f t="shared" si="1"/>
        <v>25.8</v>
      </c>
      <c r="D14">
        <v>26.5</v>
      </c>
      <c r="E14">
        <f t="shared" si="0"/>
        <v>0.69999999999999929</v>
      </c>
    </row>
    <row r="15" spans="1:6" x14ac:dyDescent="0.3">
      <c r="C15">
        <f t="shared" si="1"/>
        <v>26.5</v>
      </c>
      <c r="D15">
        <v>27.2</v>
      </c>
      <c r="E15">
        <f t="shared" si="0"/>
        <v>0.69999999999999929</v>
      </c>
    </row>
    <row r="16" spans="1:6" x14ac:dyDescent="0.3">
      <c r="C16">
        <f t="shared" si="1"/>
        <v>27.2</v>
      </c>
      <c r="D16">
        <v>28</v>
      </c>
      <c r="E16">
        <f t="shared" si="0"/>
        <v>0.80000000000000071</v>
      </c>
    </row>
    <row r="17" spans="1:9" x14ac:dyDescent="0.3">
      <c r="C17">
        <f t="shared" si="1"/>
        <v>28</v>
      </c>
      <c r="D17">
        <v>28.8</v>
      </c>
      <c r="E17">
        <f t="shared" si="0"/>
        <v>0.80000000000000071</v>
      </c>
    </row>
    <row r="18" spans="1:9" x14ac:dyDescent="0.3">
      <c r="C18">
        <f t="shared" si="1"/>
        <v>28.8</v>
      </c>
      <c r="D18">
        <v>29.6</v>
      </c>
      <c r="E18">
        <f t="shared" si="0"/>
        <v>0.80000000000000071</v>
      </c>
    </row>
    <row r="19" spans="1:9" x14ac:dyDescent="0.3">
      <c r="C19">
        <f t="shared" si="1"/>
        <v>29.6</v>
      </c>
      <c r="D19">
        <v>30.4</v>
      </c>
      <c r="E19">
        <f t="shared" si="0"/>
        <v>0.79999999999999716</v>
      </c>
    </row>
    <row r="20" spans="1:9" x14ac:dyDescent="0.3">
      <c r="C20">
        <f t="shared" si="1"/>
        <v>30.4</v>
      </c>
      <c r="D20">
        <v>31.3</v>
      </c>
      <c r="E20">
        <f t="shared" si="0"/>
        <v>0.90000000000000213</v>
      </c>
    </row>
    <row r="21" spans="1:9" x14ac:dyDescent="0.3">
      <c r="C21">
        <f t="shared" si="1"/>
        <v>31.3</v>
      </c>
      <c r="D21">
        <v>32.1</v>
      </c>
      <c r="E21">
        <f t="shared" si="0"/>
        <v>0.80000000000000071</v>
      </c>
    </row>
    <row r="22" spans="1:9" x14ac:dyDescent="0.3">
      <c r="C22">
        <f t="shared" si="1"/>
        <v>32.1</v>
      </c>
      <c r="D22">
        <v>32.9</v>
      </c>
      <c r="E22">
        <f t="shared" si="0"/>
        <v>0.79999999999999716</v>
      </c>
    </row>
    <row r="23" spans="1:9" x14ac:dyDescent="0.3">
      <c r="C23">
        <f t="shared" si="1"/>
        <v>32.9</v>
      </c>
      <c r="D23">
        <v>33.700000000000003</v>
      </c>
      <c r="E23">
        <f t="shared" si="0"/>
        <v>0.80000000000000426</v>
      </c>
    </row>
    <row r="24" spans="1:9" x14ac:dyDescent="0.3">
      <c r="C24">
        <f t="shared" si="1"/>
        <v>33.700000000000003</v>
      </c>
      <c r="D24">
        <v>34.5</v>
      </c>
      <c r="E24">
        <f t="shared" si="0"/>
        <v>0.79999999999999716</v>
      </c>
    </row>
    <row r="25" spans="1:9" x14ac:dyDescent="0.3">
      <c r="C25">
        <f t="shared" si="1"/>
        <v>34.5</v>
      </c>
      <c r="D25">
        <v>35.299999999999997</v>
      </c>
      <c r="E25">
        <f t="shared" si="0"/>
        <v>0.79999999999999716</v>
      </c>
    </row>
    <row r="26" spans="1:9" x14ac:dyDescent="0.3">
      <c r="C26">
        <f t="shared" si="1"/>
        <v>35.299999999999997</v>
      </c>
      <c r="D26">
        <v>36</v>
      </c>
      <c r="E26">
        <f t="shared" si="0"/>
        <v>0.70000000000000284</v>
      </c>
    </row>
    <row r="29" spans="1:9" s="1" customFormat="1" x14ac:dyDescent="0.3">
      <c r="A29" s="1" t="s">
        <v>9</v>
      </c>
      <c r="C29" s="1" t="s">
        <v>4</v>
      </c>
      <c r="D29" s="1" t="s">
        <v>5</v>
      </c>
      <c r="E29" s="1" t="s">
        <v>13</v>
      </c>
      <c r="H29" s="1" t="s">
        <v>3</v>
      </c>
      <c r="I29" s="1" t="s">
        <v>14</v>
      </c>
    </row>
    <row r="30" spans="1:9" x14ac:dyDescent="0.3">
      <c r="A30" t="s">
        <v>11</v>
      </c>
      <c r="C30">
        <v>90</v>
      </c>
      <c r="D30">
        <v>108.4</v>
      </c>
      <c r="E30">
        <v>1</v>
      </c>
      <c r="F30" t="s">
        <v>12</v>
      </c>
      <c r="H30">
        <f xml:space="preserve"> D30-C30</f>
        <v>18.400000000000006</v>
      </c>
      <c r="I30">
        <f>H30*20/(E30)</f>
        <v>368.00000000000011</v>
      </c>
    </row>
    <row r="31" spans="1:9" x14ac:dyDescent="0.3">
      <c r="C31">
        <v>108.4</v>
      </c>
      <c r="D31">
        <v>116.8</v>
      </c>
      <c r="E31">
        <v>0.5</v>
      </c>
      <c r="H31">
        <f xml:space="preserve"> D31-C31</f>
        <v>8.3999999999999915</v>
      </c>
      <c r="I31">
        <f t="shared" ref="I31:I43" si="2">H31*20/(E31)</f>
        <v>335.99999999999966</v>
      </c>
    </row>
    <row r="32" spans="1:9" x14ac:dyDescent="0.3">
      <c r="C32">
        <f>D31</f>
        <v>116.8</v>
      </c>
      <c r="D32">
        <v>125.2</v>
      </c>
      <c r="E32">
        <v>0.5</v>
      </c>
      <c r="H32">
        <f xml:space="preserve"> D32-C32</f>
        <v>8.4000000000000057</v>
      </c>
      <c r="I32">
        <f t="shared" si="2"/>
        <v>336.00000000000023</v>
      </c>
    </row>
    <row r="33" spans="3:9" x14ac:dyDescent="0.3">
      <c r="C33">
        <f>D32</f>
        <v>125.2</v>
      </c>
      <c r="D33">
        <v>133.80000000000001</v>
      </c>
      <c r="E33">
        <v>0.5</v>
      </c>
      <c r="H33">
        <f t="shared" ref="H31:H47" si="3" xml:space="preserve"> D33-C33</f>
        <v>8.6000000000000085</v>
      </c>
      <c r="I33">
        <f t="shared" si="2"/>
        <v>344.00000000000034</v>
      </c>
    </row>
    <row r="34" spans="3:9" x14ac:dyDescent="0.3">
      <c r="C34">
        <f t="shared" ref="C33:C43" si="4">D33</f>
        <v>133.80000000000001</v>
      </c>
      <c r="D34">
        <v>142.30000000000001</v>
      </c>
      <c r="E34">
        <v>0.5</v>
      </c>
      <c r="H34">
        <f t="shared" si="3"/>
        <v>8.5</v>
      </c>
      <c r="I34">
        <f t="shared" si="2"/>
        <v>340</v>
      </c>
    </row>
    <row r="35" spans="3:9" x14ac:dyDescent="0.3">
      <c r="C35">
        <f t="shared" si="4"/>
        <v>142.30000000000001</v>
      </c>
      <c r="D35">
        <v>151</v>
      </c>
      <c r="E35">
        <v>0.5</v>
      </c>
      <c r="H35">
        <f t="shared" si="3"/>
        <v>8.6999999999999886</v>
      </c>
      <c r="I35">
        <f t="shared" si="2"/>
        <v>347.99999999999955</v>
      </c>
    </row>
    <row r="36" spans="3:9" x14ac:dyDescent="0.3">
      <c r="C36">
        <f t="shared" si="4"/>
        <v>151</v>
      </c>
      <c r="D36">
        <v>159.5</v>
      </c>
      <c r="E36">
        <v>0.5</v>
      </c>
      <c r="H36">
        <f t="shared" si="3"/>
        <v>8.5</v>
      </c>
      <c r="I36">
        <f t="shared" si="2"/>
        <v>340</v>
      </c>
    </row>
    <row r="37" spans="3:9" x14ac:dyDescent="0.3">
      <c r="C37">
        <f t="shared" si="4"/>
        <v>159.5</v>
      </c>
      <c r="D37">
        <v>168.1</v>
      </c>
      <c r="E37">
        <v>0.5</v>
      </c>
      <c r="H37">
        <f t="shared" si="3"/>
        <v>8.5999999999999943</v>
      </c>
      <c r="I37">
        <f t="shared" si="2"/>
        <v>343.99999999999977</v>
      </c>
    </row>
    <row r="38" spans="3:9" x14ac:dyDescent="0.3">
      <c r="C38">
        <f t="shared" si="4"/>
        <v>168.1</v>
      </c>
      <c r="D38">
        <v>176.8</v>
      </c>
      <c r="E38">
        <v>0.5</v>
      </c>
      <c r="H38">
        <f t="shared" si="3"/>
        <v>8.7000000000000171</v>
      </c>
      <c r="I38">
        <f t="shared" si="2"/>
        <v>348.00000000000068</v>
      </c>
    </row>
    <row r="39" spans="3:9" x14ac:dyDescent="0.3">
      <c r="C39">
        <f t="shared" si="4"/>
        <v>176.8</v>
      </c>
      <c r="D39">
        <v>185.4</v>
      </c>
      <c r="E39">
        <v>0.5</v>
      </c>
      <c r="H39">
        <f t="shared" si="3"/>
        <v>8.5999999999999943</v>
      </c>
      <c r="I39">
        <f t="shared" si="2"/>
        <v>343.99999999999977</v>
      </c>
    </row>
    <row r="40" spans="3:9" s="3" customFormat="1" x14ac:dyDescent="0.3">
      <c r="C40" s="3">
        <f t="shared" si="4"/>
        <v>185.4</v>
      </c>
      <c r="D40" s="3">
        <v>193.5</v>
      </c>
      <c r="E40" s="3">
        <v>0.5</v>
      </c>
      <c r="H40" s="3">
        <f t="shared" si="3"/>
        <v>8.0999999999999943</v>
      </c>
      <c r="I40" s="3">
        <f t="shared" si="2"/>
        <v>323.99999999999977</v>
      </c>
    </row>
    <row r="41" spans="3:9" x14ac:dyDescent="0.3">
      <c r="C41">
        <f t="shared" si="4"/>
        <v>193.5</v>
      </c>
      <c r="E41">
        <v>0.5</v>
      </c>
      <c r="H41">
        <f t="shared" si="3"/>
        <v>-193.5</v>
      </c>
      <c r="I41">
        <f t="shared" si="2"/>
        <v>-7740</v>
      </c>
    </row>
    <row r="42" spans="3:9" x14ac:dyDescent="0.3">
      <c r="C42">
        <f t="shared" si="4"/>
        <v>0</v>
      </c>
      <c r="D42">
        <v>117.3</v>
      </c>
      <c r="E42">
        <v>0.5</v>
      </c>
      <c r="H42">
        <f t="shared" si="3"/>
        <v>117.3</v>
      </c>
      <c r="I42">
        <f t="shared" si="2"/>
        <v>4692</v>
      </c>
    </row>
    <row r="43" spans="3:9" x14ac:dyDescent="0.3">
      <c r="C43">
        <f t="shared" si="4"/>
        <v>117.3</v>
      </c>
      <c r="D43">
        <v>8.6</v>
      </c>
      <c r="E43">
        <v>0.5</v>
      </c>
      <c r="H43">
        <f t="shared" si="3"/>
        <v>-108.7</v>
      </c>
      <c r="I43">
        <f t="shared" si="2"/>
        <v>-4348</v>
      </c>
    </row>
    <row r="44" spans="3:9" x14ac:dyDescent="0.3">
      <c r="H44">
        <f t="shared" si="3"/>
        <v>0</v>
      </c>
      <c r="I44" t="e">
        <f t="shared" ref="I31:I47" si="5">H44*20/(E44)</f>
        <v>#DIV/0!</v>
      </c>
    </row>
    <row r="45" spans="3:9" x14ac:dyDescent="0.3">
      <c r="H45">
        <f t="shared" si="3"/>
        <v>0</v>
      </c>
      <c r="I45" t="e">
        <f t="shared" si="5"/>
        <v>#DIV/0!</v>
      </c>
    </row>
    <row r="46" spans="3:9" x14ac:dyDescent="0.3">
      <c r="H46">
        <f t="shared" si="3"/>
        <v>0</v>
      </c>
      <c r="I46" t="e">
        <f t="shared" si="5"/>
        <v>#DIV/0!</v>
      </c>
    </row>
    <row r="47" spans="3:9" x14ac:dyDescent="0.3">
      <c r="H47">
        <f t="shared" si="3"/>
        <v>0</v>
      </c>
      <c r="I47" t="e">
        <f t="shared" si="5"/>
        <v>#DIV/0!</v>
      </c>
    </row>
    <row r="50" spans="1:2" s="4" customFormat="1" x14ac:dyDescent="0.3">
      <c r="A50" s="4" t="s">
        <v>15</v>
      </c>
      <c r="B50" s="4" t="s">
        <v>16</v>
      </c>
    </row>
    <row r="53" spans="1:2" x14ac:dyDescent="0.3">
      <c r="B5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Paul-Emile Philippe Marie Balducchi</dc:creator>
  <cp:lastModifiedBy>Paul-Emile Philippe Marie Balducchi</cp:lastModifiedBy>
  <dcterms:created xsi:type="dcterms:W3CDTF">2026-04-16T07:18:41Z</dcterms:created>
  <dcterms:modified xsi:type="dcterms:W3CDTF">2026-04-17T10:00:30Z</dcterms:modified>
</cp:coreProperties>
</file>